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bertura Entrega 1" sheetId="1" state="visible" r:id="rId3"/>
    <sheet name="Técnicas EDA" sheetId="2" state="visible" r:id="rId4"/>
    <sheet name="Pendientes Entrega 1" sheetId="3" state="visible" r:id="rId5"/>
    <sheet name="Entrega final (no iniciada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<sst xmlns="http://schemas.openxmlformats.org/spreadsheetml/2006/main" count="112" uniqueCount="88">
  <si>
    <t xml:space="preserve">Cobertura de la Entrega 1 — MINE-4101 (NeuroAgenda · MinHalma)</t>
  </si>
  <si>
    <t xml:space="preserve">Fuente: rúbrica del enunciado del Proyecto Final y estado del reporte Entrega1_Reporte.pdf al 18-oct-2026. Fecha límite: 18-oct-2026, 11:59 p. m.</t>
  </si>
  <si>
    <t xml:space="preserve">Punto</t>
  </si>
  <si>
    <t xml:space="preserve">Peso</t>
  </si>
  <si>
    <t xml:space="preserve">Dónde está</t>
  </si>
  <si>
    <t xml:space="preserve">Estado</t>
  </si>
  <si>
    <t xml:space="preserve">Pendiente específico</t>
  </si>
  <si>
    <t xml:space="preserve">1. Problemática y entendimiento del negocio</t>
  </si>
  <si>
    <t xml:space="preserve">Reporte §1: problema, cifras del sector (Colombia y literatura), objetivos y tabla de 5 KPIs</t>
  </si>
  <si>
    <t xml:space="preserve">Completo con pendiente</t>
  </si>
  <si>
    <t xml:space="preserve">Nombre y cargo del stakeholder en MinHalma</t>
  </si>
  <si>
    <t xml:space="preserve">2. Ideación</t>
  </si>
  <si>
    <t xml:space="preserve">Reporte §2: usuarios, dolores, requerimientos, 4 componentes y mockup (Figura 1, mockup/)</t>
  </si>
  <si>
    <t xml:space="preserve">Completo</t>
  </si>
  <si>
    <t xml:space="preserve">3. Aspectos éticos y legales</t>
  </si>
  <si>
    <t xml:space="preserve">Reporte §3: tabla de riesgos con normativa colombiana y mitigación; referencias APA</t>
  </si>
  <si>
    <t xml:space="preserve">4. Enfoque analítico</t>
  </si>
  <si>
    <t xml:space="preserve">Reporte §4: pregunta de negocio, hipótesis H1–H5 con su prueba, técnicas, validación y métricas</t>
  </si>
  <si>
    <t xml:space="preserve">5. Recolección de datos</t>
  </si>
  <si>
    <t xml:space="preserve">Reporte §5 y docs/diccionario_datos.md: 3 fuentes y diccionario completo</t>
  </si>
  <si>
    <t xml:space="preserve">6. Entendimiento de los datos</t>
  </si>
  <si>
    <t xml:space="preserve">Reporte §6 y notebooks/01_eda_calidad.ipynb (ver hoja 'Técnicas EDA')</t>
  </si>
  <si>
    <t xml:space="preserve">7. Conclusiones iniciales</t>
  </si>
  <si>
    <t xml:space="preserve">Reporte §7: insights y próximas acciones</t>
  </si>
  <si>
    <t xml:space="preserve">Peso total de la rúbrica</t>
  </si>
  <si>
    <t xml:space="preserve">Peso en estado 'Completo'</t>
  </si>
  <si>
    <t xml:space="preserve">Peso 'Completo con pendiente'</t>
  </si>
  <si>
    <t xml:space="preserve">Peso 'Pendiente'</t>
  </si>
  <si>
    <t xml:space="preserve">La columna Estado tiene lista desplegable: al cambiarla se actualiza el resumen.</t>
  </si>
  <si>
    <t xml:space="preserve">Técnicas usadas en el punto 6 (35 %) — Entendimiento de los datos</t>
  </si>
  <si>
    <t xml:space="preserve">Fuente: notebooks/01_eda_calidad.ipynb y reporte §6.</t>
  </si>
  <si>
    <t xml:space="preserve">Categoría exigida</t>
  </si>
  <si>
    <t xml:space="preserve">Técnicas aplicadas</t>
  </si>
  <si>
    <t xml:space="preserve">Ubicación</t>
  </si>
  <si>
    <t xml:space="preserve">Calidad de datos</t>
  </si>
  <si>
    <t xml:space="preserve">Completitud, unicidad, validez, consistencia temporal y precisión</t>
  </si>
  <si>
    <t xml:space="preserve">Notebook §2; reports/tables/calidad_datos.csv</t>
  </si>
  <si>
    <t xml:space="preserve">Univariadas</t>
  </si>
  <si>
    <t xml:space="preserve">Estadísticos descriptivos, percentiles, asimetría, curtosis y prevalencias</t>
  </si>
  <si>
    <t xml:space="preserve">Notebook §3; Figura 1 (fig1_univariado.png)</t>
  </si>
  <si>
    <t xml:space="preserve">Gráficas</t>
  </si>
  <si>
    <t xml:space="preserve">Histogramas, barras con IC 95 % de Wilson, heatmap de Spearman, forest plot de OR y funnel plot por barrio</t>
  </si>
  <si>
    <t xml:space="preserve">reports/figures/ (fig1–fig4); reporte Figuras 2 y 3</t>
  </si>
  <si>
    <t xml:space="preserve">No gráficas</t>
  </si>
  <si>
    <t xml:space="preserve">χ² con V de Cramér corregida, U de Mann-Whitney con r rank-biserial, OR de Mantel-Haenszel</t>
  </si>
  <si>
    <t xml:space="preserve">Notebook §4–5; reports/tables/bivariado_pruebas.csv</t>
  </si>
  <si>
    <t xml:space="preserve">Multivariadas</t>
  </si>
  <si>
    <t xml:space="preserve">Regresión logística con OR ajustados e IC 95 %; análisis de confusión (paradoja de Simpson en SMS)</t>
  </si>
  <si>
    <t xml:space="preserve">Notebook §5; reports/tables/logit_or_exploratorio.csv</t>
  </si>
  <si>
    <t xml:space="preserve">Suficiencia</t>
  </si>
  <si>
    <t xml:space="preserve">Línea base con validación cruzada agrupada por paciente (GroupKFold, k = 5): ROC-AUC, PR-AUC, Brier, captura en top 30 %</t>
  </si>
  <si>
    <t xml:space="preserve">Notebook §6; reports/tables/linea_base_cv.csv</t>
  </si>
  <si>
    <t xml:space="preserve">Pendientes para cerrar la Entrega 1</t>
  </si>
  <si>
    <t xml:space="preserve">Leyenda: celdas en amarillo = completar por el equipo. Fila 5 = ejemplo de formato; reemplácela.</t>
  </si>
  <si>
    <t xml:space="preserve">#</t>
  </si>
  <si>
    <t xml:space="preserve">Tarea</t>
  </si>
  <si>
    <t xml:space="preserve">Afecta a</t>
  </si>
  <si>
    <t xml:space="preserve">Responsable</t>
  </si>
  <si>
    <t xml:space="preserve">Fecha límite</t>
  </si>
  <si>
    <t xml:space="preserve">Notas</t>
  </si>
  <si>
    <t xml:space="preserve">Registrar nombre y cargo del stakeholder de MinHalma en el reporte §1 y en el README</t>
  </si>
  <si>
    <t xml:space="preserve">Punto 1 (10 %) y requisito general del proyecto</t>
  </si>
  <si>
    <t xml:space="preserve">[Nombre]</t>
  </si>
  <si>
    <t xml:space="preserve">Pendiente</t>
  </si>
  <si>
    <t xml:space="preserve">Organización ya definida: MinHalma (psicología, nutrición y fisioterapia)</t>
  </si>
  <si>
    <t xml:space="preserve">Preparar diapositivas de la sustentación y subirlas al repositorio</t>
  </si>
  <si>
    <t xml:space="preserve">Instrucciones de entrega</t>
  </si>
  <si>
    <t xml:space="preserve">Grabar video ejecutivo (máx. 6 min, todos participan con tiempo similar) y subir a YouTube</t>
  </si>
  <si>
    <t xml:space="preserve">Publicar el repositorio en GitHub como público y poner los enlaces (repo y video) en el reporte</t>
  </si>
  <si>
    <t xml:space="preserve">Completar nombres de integrantes en reporte y README</t>
  </si>
  <si>
    <t xml:space="preserve">Exportar el PDF final desde Word para que use Arial</t>
  </si>
  <si>
    <t xml:space="preserve">Formato del reporte</t>
  </si>
  <si>
    <t xml:space="preserve">El PDF generado usa Liberation Sans (mismas métricas que Arial)</t>
  </si>
  <si>
    <t xml:space="preserve">Verificar la licencia del dataset en la ficha de Kaggle</t>
  </si>
  <si>
    <t xml:space="preserve">Punto 3 (ético-legal)</t>
  </si>
  <si>
    <t xml:space="preserve">Tareas abiertas (no completas)</t>
  </si>
  <si>
    <t xml:space="preserve">Entrega final — fuera del alcance de lo realizado</t>
  </si>
  <si>
    <t xml:space="preserve">Fecha límite: 29-nov-2026, 11:59 p. m. Ninguno de estos puntos se ha iniciado.</t>
  </si>
  <si>
    <t xml:space="preserve">8. Preparación de datos</t>
  </si>
  <si>
    <t xml:space="preserve">No iniciado</t>
  </si>
  <si>
    <t xml:space="preserve">9. Estrategia de validación y selección de modelo</t>
  </si>
  <si>
    <t xml:space="preserve">10. Construcción y evaluación del modelo (≥ 3 algoritmos)</t>
  </si>
  <si>
    <t xml:space="preserve">11. Construcción del producto de datos (API, dashboard, despliegue)</t>
  </si>
  <si>
    <t xml:space="preserve">12. Retroalimentación de la organización (bitácora, ≥ 3 interacciones)</t>
  </si>
  <si>
    <t xml:space="preserve">13. Conclusiones (resumen ejecutivo)</t>
  </si>
  <si>
    <t xml:space="preserve">14. Autoevaluación y evaluación grupal</t>
  </si>
  <si>
    <t xml:space="preserve">Peso total</t>
  </si>
  <si>
    <t xml:space="preserve">Nota: los pesos del enunciado suman 105 %. Conviene confirmar con los docentes.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</si>
</sst>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6.85" hidden="false" customHeight="false" outlineLevel="0" collapsed="false">
      <c r="A5" s="4" t="s">
        <v>7</v>
      </c>
      <c r="B5" s="5" t="n">
        <v>0.1</v>
      </c>
      <c r="C5" s="4" t="s">
        <v>8</v>
      </c>
      <c r="D5" s="4" t="s">
        <v>9</v>
      </c>
      <c r="E5" s="4" t="s">
        <v>10</v>
      </c>
    </row>
    <row r="6" customFormat="false" ht="26.85" hidden="false" customHeight="false" outlineLevel="0" collapsed="false">
      <c r="A6" s="4" t="s">
        <v>11</v>
      </c>
      <c r="B6" s="5" t="n">
        <v>0.1</v>
      </c>
      <c r="C6" s="4" t="s">
        <v>12</v>
      </c>
      <c r="D6" s="4" t="s">
        <v>13</v>
      </c>
      <c r="E6" s="4"/>
    </row>
    <row r="7" customFormat="false" ht="26.85" hidden="false" customHeight="false" outlineLevel="0" collapsed="false">
      <c r="A7" s="4" t="s">
        <v>14</v>
      </c>
      <c r="B7" s="5" t="n">
        <v>0.1</v>
      </c>
      <c r="C7" s="4" t="s">
        <v>15</v>
      </c>
      <c r="D7" s="4" t="s">
        <v>13</v>
      </c>
      <c r="E7" s="4"/>
    </row>
    <row r="8" customFormat="false" ht="26.85" hidden="false" customHeight="false" outlineLevel="0" collapsed="false">
      <c r="A8" s="4" t="s">
        <v>16</v>
      </c>
      <c r="B8" s="5" t="n">
        <v>0.15</v>
      </c>
      <c r="C8" s="4" t="s">
        <v>17</v>
      </c>
      <c r="D8" s="4" t="s">
        <v>13</v>
      </c>
      <c r="E8" s="4"/>
    </row>
    <row r="9" customFormat="false" ht="26.85" hidden="false" customHeight="false" outlineLevel="0" collapsed="false">
      <c r="A9" s="4" t="s">
        <v>18</v>
      </c>
      <c r="B9" s="5" t="n">
        <v>0.1</v>
      </c>
      <c r="C9" s="4" t="s">
        <v>19</v>
      </c>
      <c r="D9" s="4" t="s">
        <v>13</v>
      </c>
      <c r="E9" s="4"/>
    </row>
    <row r="10" customFormat="false" ht="26.85" hidden="false" customHeight="false" outlineLevel="0" collapsed="false">
      <c r="A10" s="4" t="s">
        <v>20</v>
      </c>
      <c r="B10" s="5" t="n">
        <v>0.35</v>
      </c>
      <c r="C10" s="4" t="s">
        <v>21</v>
      </c>
      <c r="D10" s="4" t="s">
        <v>13</v>
      </c>
      <c r="E10" s="4"/>
    </row>
    <row r="11" customFormat="false" ht="15" hidden="false" customHeight="false" outlineLevel="0" collapsed="false">
      <c r="A11" s="4" t="s">
        <v>22</v>
      </c>
      <c r="B11" s="5" t="n">
        <v>0.1</v>
      </c>
      <c r="C11" s="4" t="s">
        <v>23</v>
      </c>
      <c r="D11" s="4" t="s">
        <v>13</v>
      </c>
      <c r="E11" s="4"/>
    </row>
    <row r="13" customFormat="false" ht="15" hidden="false" customHeight="false" outlineLevel="0" collapsed="false">
      <c r="A13" s="6" t="s">
        <v>24</v>
      </c>
      <c r="B13" s="7" t="n">
        <f aca="false">SUM(B5:B11)</f>
        <v>1</v>
      </c>
    </row>
    <row r="14" customFormat="false" ht="15" hidden="false" customHeight="false" outlineLevel="0" collapsed="false">
      <c r="A14" s="6" t="s">
        <v>25</v>
      </c>
      <c r="B14" s="7" t="n">
        <f aca="false">SUMIF(D5:D11,"Completo",B5:B11)</f>
        <v>0.9</v>
      </c>
    </row>
    <row r="15" customFormat="false" ht="15" hidden="false" customHeight="false" outlineLevel="0" collapsed="false">
      <c r="A15" s="6" t="s">
        <v>26</v>
      </c>
      <c r="B15" s="7" t="n">
        <f aca="false">SUMIF(D5:D11,"Completo con pendiente",B5:B11)</f>
        <v>0.1</v>
      </c>
    </row>
    <row r="16" customFormat="false" ht="15" hidden="false" customHeight="false" outlineLevel="0" collapsed="false">
      <c r="A16" s="6" t="s">
        <v>27</v>
      </c>
      <c r="B16" s="7" t="n">
        <f aca="false">SUMIF(D5:D11,"Pendiente",B5:B11)</f>
        <v>0</v>
      </c>
    </row>
    <row r="18" customFormat="false" ht="15" hidden="false" customHeight="false" outlineLevel="0" collapsed="false">
      <c r="A18" s="8" t="s">
        <v>28</v>
      </c>
    </row>
  </sheetData>
  <conditionalFormatting sqref="D5:D11">
    <cfRule type="cellIs" priority="2" operator="equal" aboveAverage="0" equalAverage="0" bottom="0" percent="0" rank="0" text="" dxfId="0">
      <formula>"Completo"</formula>
    </cfRule>
    <cfRule type="cellIs" priority="3" operator="equal" aboveAverage="0" equalAverage="0" bottom="0" percent="0" rank="0" text="" dxfId="1">
      <formula>"Completo con pendiente"</formula>
    </cfRule>
    <cfRule type="cellIs" priority="4" operator="equal" aboveAverage="0" equalAverage="0" bottom="0" percent="0" rank="0" text="" dxfId="2">
      <formula>"Pendiente"</formula>
    </cfRule>
    <cfRule type="cellIs" priority="5" operator="equal" aboveAverage="0" equalAverage="0" bottom="0" percent="0" rank="0" text="" dxfId="3">
      <formula>"No iniciado"</formula>
    </cfRule>
    <cfRule type="cellIs" priority="6" operator="equal" aboveAverage="0" equalAverage="0" bottom="0" percent="0" rank="0" text="" dxfId="1">
      <formula>"En curso"</formula>
    </cfRule>
  </conditionalFormatting>
  <dataValidations count="1">
    <dataValidation allowBlank="false" errorStyle="stop" operator="between" showDropDown="false" showErrorMessage="false" showInputMessage="false" sqref="D5:D11" type="list">
      <formula1>"Completo,Completo con pendiente,Pendiente"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</row>
    <row r="5" customFormat="false" ht="26.85" hidden="false" customHeight="false" outlineLevel="0" collapsed="false">
      <c r="A5" s="4" t="s">
        <v>34</v>
      </c>
      <c r="B5" s="4" t="s">
        <v>35</v>
      </c>
      <c r="C5" s="4" t="s">
        <v>36</v>
      </c>
    </row>
    <row r="6" customFormat="false" ht="26.85" hidden="false" customHeight="false" outlineLevel="0" collapsed="false">
      <c r="A6" s="4" t="s">
        <v>37</v>
      </c>
      <c r="B6" s="4" t="s">
        <v>38</v>
      </c>
      <c r="C6" s="4" t="s">
        <v>39</v>
      </c>
    </row>
    <row r="7" customFormat="false" ht="26.85" hidden="false" customHeight="false" outlineLevel="0" collapsed="false">
      <c r="A7" s="4" t="s">
        <v>40</v>
      </c>
      <c r="B7" s="4" t="s">
        <v>41</v>
      </c>
      <c r="C7" s="4" t="s">
        <v>42</v>
      </c>
    </row>
    <row r="8" customFormat="false" ht="26.85" hidden="false" customHeight="false" outlineLevel="0" collapsed="false">
      <c r="A8" s="4" t="s">
        <v>43</v>
      </c>
      <c r="B8" s="4" t="s">
        <v>44</v>
      </c>
      <c r="C8" s="4" t="s">
        <v>45</v>
      </c>
    </row>
    <row r="9" customFormat="false" ht="26.85" hidden="false" customHeight="false" outlineLevel="0" collapsed="false">
      <c r="A9" s="4" t="s">
        <v>46</v>
      </c>
      <c r="B9" s="4" t="s">
        <v>47</v>
      </c>
      <c r="C9" s="4" t="s">
        <v>48</v>
      </c>
    </row>
    <row r="10" customFormat="false" ht="26.85" hidden="false" customHeight="false" outlineLevel="0" collapsed="false">
      <c r="A10" s="4" t="s">
        <v>49</v>
      </c>
      <c r="B10" s="4" t="s">
        <v>50</v>
      </c>
      <c r="C10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</v>
      </c>
      <c r="G4" s="3" t="s">
        <v>59</v>
      </c>
    </row>
    <row r="5" customFormat="false" ht="26.85" hidden="false" customHeight="false" outlineLevel="0" collapsed="false">
      <c r="A5" s="4" t="n">
        <v>1</v>
      </c>
      <c r="B5" s="4" t="s">
        <v>60</v>
      </c>
      <c r="C5" s="4" t="s">
        <v>61</v>
      </c>
      <c r="D5" s="9" t="s">
        <v>62</v>
      </c>
      <c r="E5" s="10" t="n">
        <v>46313</v>
      </c>
      <c r="F5" s="4" t="s">
        <v>63</v>
      </c>
      <c r="G5" s="9" t="s">
        <v>64</v>
      </c>
    </row>
    <row r="6" customFormat="false" ht="26.85" hidden="false" customHeight="false" outlineLevel="0" collapsed="false">
      <c r="A6" s="4" t="n">
        <v>2</v>
      </c>
      <c r="B6" s="4" t="s">
        <v>65</v>
      </c>
      <c r="C6" s="4" t="s">
        <v>66</v>
      </c>
      <c r="D6" s="9"/>
      <c r="E6" s="10" t="n">
        <v>46313</v>
      </c>
      <c r="F6" s="4" t="s">
        <v>63</v>
      </c>
      <c r="G6" s="9"/>
    </row>
    <row r="7" customFormat="false" ht="26.85" hidden="false" customHeight="false" outlineLevel="0" collapsed="false">
      <c r="A7" s="4" t="n">
        <v>3</v>
      </c>
      <c r="B7" s="4" t="s">
        <v>67</v>
      </c>
      <c r="C7" s="4" t="s">
        <v>66</v>
      </c>
      <c r="D7" s="9"/>
      <c r="E7" s="10" t="n">
        <v>46313</v>
      </c>
      <c r="F7" s="4" t="s">
        <v>63</v>
      </c>
      <c r="G7" s="9"/>
    </row>
    <row r="8" customFormat="false" ht="26.85" hidden="false" customHeight="false" outlineLevel="0" collapsed="false">
      <c r="A8" s="4" t="n">
        <v>4</v>
      </c>
      <c r="B8" s="4" t="s">
        <v>68</v>
      </c>
      <c r="C8" s="4" t="s">
        <v>66</v>
      </c>
      <c r="D8" s="9"/>
      <c r="E8" s="10" t="n">
        <v>46313</v>
      </c>
      <c r="F8" s="4" t="s">
        <v>63</v>
      </c>
      <c r="G8" s="9"/>
    </row>
    <row r="9" customFormat="false" ht="26.85" hidden="false" customHeight="false" outlineLevel="0" collapsed="false">
      <c r="A9" s="4" t="n">
        <v>5</v>
      </c>
      <c r="B9" s="4" t="s">
        <v>69</v>
      </c>
      <c r="C9" s="4" t="s">
        <v>66</v>
      </c>
      <c r="D9" s="9"/>
      <c r="E9" s="10" t="n">
        <v>46313</v>
      </c>
      <c r="F9" s="4" t="s">
        <v>63</v>
      </c>
      <c r="G9" s="9"/>
    </row>
    <row r="10" customFormat="false" ht="26.85" hidden="false" customHeight="false" outlineLevel="0" collapsed="false">
      <c r="A10" s="4" t="n">
        <v>6</v>
      </c>
      <c r="B10" s="4" t="s">
        <v>70</v>
      </c>
      <c r="C10" s="4" t="s">
        <v>71</v>
      </c>
      <c r="D10" s="9"/>
      <c r="E10" s="10" t="n">
        <v>46313</v>
      </c>
      <c r="F10" s="4" t="s">
        <v>63</v>
      </c>
      <c r="G10" s="9" t="s">
        <v>72</v>
      </c>
    </row>
    <row r="11" customFormat="false" ht="26.85" hidden="false" customHeight="false" outlineLevel="0" collapsed="false">
      <c r="A11" s="4" t="n">
        <v>7</v>
      </c>
      <c r="B11" s="4" t="s">
        <v>73</v>
      </c>
      <c r="C11" s="4" t="s">
        <v>74</v>
      </c>
      <c r="D11" s="9"/>
      <c r="E11" s="10" t="n">
        <v>46313</v>
      </c>
      <c r="F11" s="4" t="s">
        <v>63</v>
      </c>
      <c r="G11" s="9"/>
    </row>
    <row r="13" customFormat="false" ht="15" hidden="false" customHeight="false" outlineLevel="0" collapsed="false">
      <c r="B13" s="6" t="s">
        <v>75</v>
      </c>
      <c r="C13" s="6" t="n">
        <f aca="false">COUNTA(B5:B11)-COUNTIF(F5:F11,"Completo")</f>
        <v>7</v>
      </c>
    </row>
  </sheetData>
  <conditionalFormatting sqref="F5:F11">
    <cfRule type="cellIs" priority="2" operator="equal" aboveAverage="0" equalAverage="0" bottom="0" percent="0" rank="0" text="" dxfId="0">
      <formula>"Completo"</formula>
    </cfRule>
    <cfRule type="cellIs" priority="3" operator="equal" aboveAverage="0" equalAverage="0" bottom="0" percent="0" rank="0" text="" dxfId="1">
      <formula>"Completo con pendiente"</formula>
    </cfRule>
    <cfRule type="cellIs" priority="4" operator="equal" aboveAverage="0" equalAverage="0" bottom="0" percent="0" rank="0" text="" dxfId="2">
      <formula>"Pendiente"</formula>
    </cfRule>
    <cfRule type="cellIs" priority="5" operator="equal" aboveAverage="0" equalAverage="0" bottom="0" percent="0" rank="0" text="" dxfId="3">
      <formula>"No iniciado"</formula>
    </cfRule>
    <cfRule type="cellIs" priority="6" operator="equal" aboveAverage="0" equalAverage="0" bottom="0" percent="0" rank="0" text="" dxfId="1">
      <formula>"En curso"</formula>
    </cfRule>
  </conditionalFormatting>
  <dataValidations count="1">
    <dataValidation allowBlank="false" errorStyle="stop" operator="between" showDropDown="false" showErrorMessage="false" showInputMessage="false" sqref="F5:F11" type="list">
      <formula1>"Pendiente,En curso,Completo"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5</v>
      </c>
    </row>
    <row r="5" customFormat="false" ht="15" hidden="false" customHeight="false" outlineLevel="0" collapsed="false">
      <c r="A5" s="4" t="s">
        <v>78</v>
      </c>
      <c r="B5" s="5" t="n">
        <v>0.2</v>
      </c>
      <c r="C5" s="4" t="s">
        <v>79</v>
      </c>
    </row>
    <row r="6" customFormat="false" ht="15" hidden="false" customHeight="false" outlineLevel="0" collapsed="false">
      <c r="A6" s="4" t="s">
        <v>80</v>
      </c>
      <c r="B6" s="5" t="n">
        <v>0.05</v>
      </c>
      <c r="C6" s="4" t="s">
        <v>79</v>
      </c>
    </row>
    <row r="7" customFormat="false" ht="15" hidden="false" customHeight="false" outlineLevel="0" collapsed="false">
      <c r="A7" s="4" t="s">
        <v>81</v>
      </c>
      <c r="B7" s="5" t="n">
        <v>0.2</v>
      </c>
      <c r="C7" s="4" t="s">
        <v>79</v>
      </c>
    </row>
    <row r="8" customFormat="false" ht="26.85" hidden="false" customHeight="false" outlineLevel="0" collapsed="false">
      <c r="A8" s="4" t="s">
        <v>82</v>
      </c>
      <c r="B8" s="5" t="n">
        <v>0.2</v>
      </c>
      <c r="C8" s="4" t="s">
        <v>79</v>
      </c>
    </row>
    <row r="9" customFormat="false" ht="26.85" hidden="false" customHeight="false" outlineLevel="0" collapsed="false">
      <c r="A9" s="4" t="s">
        <v>83</v>
      </c>
      <c r="B9" s="5" t="n">
        <v>0.15</v>
      </c>
      <c r="C9" s="4" t="s">
        <v>79</v>
      </c>
    </row>
    <row r="10" customFormat="false" ht="15" hidden="false" customHeight="false" outlineLevel="0" collapsed="false">
      <c r="A10" s="4" t="s">
        <v>84</v>
      </c>
      <c r="B10" s="5" t="n">
        <v>0.15</v>
      </c>
      <c r="C10" s="4" t="s">
        <v>79</v>
      </c>
    </row>
    <row r="11" customFormat="false" ht="15" hidden="false" customHeight="false" outlineLevel="0" collapsed="false">
      <c r="A11" s="4" t="s">
        <v>85</v>
      </c>
      <c r="B11" s="5" t="n">
        <v>0.1</v>
      </c>
      <c r="C11" s="4" t="s">
        <v>79</v>
      </c>
    </row>
    <row r="13" customFormat="false" ht="15" hidden="false" customHeight="false" outlineLevel="0" collapsed="false">
      <c r="A13" s="6" t="s">
        <v>86</v>
      </c>
      <c r="B13" s="7" t="n">
        <f aca="false">SUM(B5:B11)</f>
        <v>1.05</v>
      </c>
    </row>
    <row r="14" customFormat="false" ht="15" hidden="false" customHeight="false" outlineLevel="0" collapsed="false">
      <c r="A14" s="11" t="s">
        <v>87</v>
      </c>
    </row>
  </sheetData>
  <conditionalFormatting sqref="C5:C11">
    <cfRule type="cellIs" priority="2" operator="equal" aboveAverage="0" equalAverage="0" bottom="0" percent="0" rank="0" text="" dxfId="0">
      <formula>"Completo"</formula>
    </cfRule>
    <cfRule type="cellIs" priority="3" operator="equal" aboveAverage="0" equalAverage="0" bottom="0" percent="0" rank="0" text="" dxfId="1">
      <formula>"Completo con pendiente"</formula>
    </cfRule>
    <cfRule type="cellIs" priority="4" operator="equal" aboveAverage="0" equalAverage="0" bottom="0" percent="0" rank="0" text="" dxfId="2">
      <formula>"Pendiente"</formula>
    </cfRule>
    <cfRule type="cellIs" priority="5" operator="equal" aboveAverage="0" equalAverage="0" bottom="0" percent="0" rank="0" text="" dxfId="3">
      <formula>"No iniciado"</formula>
    </cfRule>
    <cfRule type="cellIs" priority="6" operator="equal" aboveAverage="0" equalAverage="0" bottom="0" percent="0" rank="0" text="" dxfId="1">
      <formula>"En curso"</formula>
    </cfRule>
  </conditionalFormatting>
  <dataValidations count="1">
    <dataValidation allowBlank="false" errorStyle="stop" operator="between" showDropDown="false" showErrorMessage="false" showInputMessage="false" sqref="C5:C11" type="list">
      <formula1>"No iniciado,En curso,Completo"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2026-10-19T02:49:44Z</dcterms:created>
  <dc:creator>openpyxl</dc:creator>
  <dc:description/>
  <dc:language>en-US</dc:language>
  <cp:lastModifiedBy/>
  <dcterms:modified xsi:type="dcterms:W3CDTF">2026-10-19T02:49:44Z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